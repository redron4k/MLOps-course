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LoRA" sheetId="3" state="visible" r:id="rId3"/>
    <sheet xmlns:r="http://schemas.openxmlformats.org/officeDocument/2006/relationships" name="Память" sheetId="4" state="visible" r:id="rId4"/>
    <sheet xmlns:r="http://schemas.openxmlformats.org/officeDocument/2006/relationships" name="Отв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6B21A8"/>
      <sz val="14"/>
    </font>
    <font>
      <name val="Calibri"/>
      <color rgb="001A1A2E"/>
      <sz val="11"/>
    </font>
    <font>
      <name val="Calibri"/>
      <b val="1"/>
      <color rgb="001A1A2E"/>
      <sz val="11"/>
    </font>
    <font>
      <name val="Calibri"/>
      <i val="1"/>
      <color rgb="008888AA"/>
      <sz val="9"/>
    </font>
    <font>
      <name val="Consolas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FFF9E6"/>
      </patternFill>
    </fill>
    <fill>
      <patternFill patternType="solid">
        <fgColor rgb="00F5F0FF"/>
      </patternFill>
    </fill>
  </fills>
  <borders count="5">
    <border>
      <left/>
      <right/>
      <top/>
      <bottom/>
      <diagonal/>
    </border>
    <border>
      <left style="thin">
        <color rgb="00D8B4FE"/>
      </left>
      <right style="thin">
        <color rgb="00D8B4FE"/>
      </right>
      <top style="thin">
        <color rgb="00D8B4FE"/>
      </top>
      <bottom style="thin">
        <color rgb="00D8B4FE"/>
      </bottom>
    </border>
    <border>
      <left style="thin">
        <color rgb="00D8B4FE"/>
      </left>
      <right/>
      <top/>
      <bottom/>
      <diagonal/>
    </border>
    <border>
      <left style="thin">
        <color rgb="00D8B4FE"/>
      </left>
      <right style="thin">
        <color rgb="00D8B4FE"/>
      </right>
      <top/>
      <bottom/>
      <diagonal/>
    </border>
    <border>
      <left style="thin">
        <color rgb="00D8B4FE"/>
      </left>
      <right style="thin">
        <color rgb="00D8B4FE"/>
      </right>
      <top/>
      <bottom style="thin">
        <color rgb="00D8B4F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2" fillId="3" borderId="1" pivotButton="0" quotePrefix="0" xfId="0"/>
    <xf numFmtId="3" fontId="2" fillId="4" borderId="1" pivotButton="0" quotePrefix="0" xfId="0"/>
    <xf numFmtId="3" fontId="2" fillId="3" borderId="1" pivotButton="0" quotePrefix="0" xfId="0"/>
    <xf numFmtId="0" fontId="2" fillId="4" borderId="1" pivotButton="0" quotePrefix="0" xfId="0"/>
    <xf numFmtId="10" fontId="2" fillId="4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4" borderId="1" pivotButton="0" quotePrefix="0" xfId="0"/>
    <xf numFmtId="0" fontId="2" fillId="0" borderId="1" pivotButton="0" quotePrefix="0" xfId="0"/>
    <xf numFmtId="165" fontId="2" fillId="3" borderId="1" pivotButton="0" quotePrefix="0" xfId="0"/>
    <xf numFmtId="2" fontId="2" fillId="4" borderId="1" pivotButton="0" quotePrefix="0" xfId="0"/>
    <xf numFmtId="166" fontId="2" fillId="3" borderId="1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Сводная таблица к ДЗ 2 «Анатомия модели»</t>
        </is>
      </c>
    </row>
    <row r="3">
      <c r="B3" s="2" t="inlineStr"/>
    </row>
    <row r="4">
      <c r="B4" s="2" t="inlineStr">
        <is>
          <t>Жёлтые клетки заполняете вы. Сиреневые считаются формулами — их не трогайте.</t>
        </is>
      </c>
    </row>
    <row r="5">
      <c r="B5" s="2" t="inlineStr">
        <is>
          <t>Числа берутся из вашего docs/report.json и из вывода вашей же программы.</t>
        </is>
      </c>
    </row>
    <row r="6">
      <c r="B6" s="2" t="inlineStr"/>
    </row>
    <row r="7">
      <c r="B7" s="3" t="inlineStr">
        <is>
          <t>Зачем это нужно</t>
        </is>
      </c>
    </row>
    <row r="8">
      <c r="B8" s="2" t="inlineStr">
        <is>
          <t>Код можно сгенерировать и ни разу не посмотреть, что он выдал. Таблицу — нельзя:</t>
        </is>
      </c>
    </row>
    <row r="9">
      <c r="B9" s="2" t="inlineStr">
        <is>
          <t>контрольные суммы считаются здесь, и расхождение подсвечивается красным сразу.</t>
        </is>
      </c>
    </row>
    <row r="10">
      <c r="B10" s="2" t="inlineStr">
        <is>
          <t>Если у вас всё зелёное — вы точно посмотрели на свои числа хотя бы один раз.</t>
        </is>
      </c>
    </row>
    <row r="11">
      <c r="B11" s="2" t="inlineStr"/>
    </row>
    <row r="12">
      <c r="B12" s="3" t="inlineStr">
        <is>
          <t>Что заполнять</t>
        </is>
      </c>
    </row>
    <row r="13">
      <c r="B13" s="2" t="inlineStr">
        <is>
          <t>«Параметры» — таблица модуль → параметры → доля. Сумма обязана сойтись с params_total.</t>
        </is>
      </c>
    </row>
    <row r="14">
      <c r="B14" s="2" t="inlineStr">
        <is>
          <t>«LoRA» — свой расчёт параметров адаптера и то, что показал peft. Должны совпасть точно.</t>
        </is>
      </c>
    </row>
    <row r="15">
      <c r="B15" s="2" t="inlineStr">
        <is>
          <t>«Память» — три режима и условия замера. Пик не может быть меньше весов модели.</t>
        </is>
      </c>
    </row>
    <row r="16">
      <c r="B16" s="2" t="inlineStr">
        <is>
          <t>«Ответы» — пять вопросов. Отвечать своими словами, одного-двух предложений хватит.</t>
        </is>
      </c>
    </row>
    <row r="17">
      <c r="B17" s="2" t="inlineStr"/>
    </row>
    <row r="18">
      <c r="B18" s="3" t="inlineStr">
        <is>
          <t>Сдаётся вместе с репозиторием</t>
        </is>
      </c>
    </row>
    <row r="19">
      <c r="B19" s="2" t="inlineStr">
        <is>
          <t>Файл кладёте в docs/ рядом с отчётом. Заполненная таблица — часть отчёта, а не замена 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20" customWidth="1" min="5" max="5"/>
    <col width="18" customWidth="1" min="6" max="6"/>
    <col width="14" customWidth="1" min="7" max="7"/>
    <col width="12" customWidth="1" min="8" max="8"/>
    <col width="34" customWidth="1" min="9" max="9"/>
  </cols>
  <sheetData>
    <row r="1">
      <c r="A1" s="4" t="inlineStr">
        <is>
          <t>Параметры по модулям</t>
        </is>
      </c>
    </row>
    <row r="2">
      <c r="A2" s="5" t="inlineStr">
        <is>
          <t>Столбцы «строк» и «столбцов» — размеры одной матрицы. «Штук» — сколько таких модулей во всей модели.</t>
        </is>
      </c>
    </row>
    <row r="4" ht="30" customHeight="1">
      <c r="A4" s="6" t="inlineStr">
        <is>
          <t>модуль</t>
        </is>
      </c>
      <c r="B4" s="6" t="inlineStr">
        <is>
          <t>штук</t>
        </is>
      </c>
      <c r="C4" s="6" t="inlineStr">
        <is>
          <t>строк</t>
        </is>
      </c>
      <c r="D4" s="6" t="inlineStr">
        <is>
          <t>столбцов</t>
        </is>
      </c>
      <c r="E4" s="6" t="inlineStr">
        <is>
          <t>по формуле
штук × строк × столбцов</t>
        </is>
      </c>
      <c r="F4" s="6" t="inlineStr">
        <is>
          <t>по sum(p.numel())</t>
        </is>
      </c>
      <c r="G4" s="6" t="inlineStr">
        <is>
          <t>сходится?</t>
        </is>
      </c>
      <c r="H4" s="6" t="inlineStr">
        <is>
          <t>доля модели</t>
        </is>
      </c>
      <c r="I4" s="6" t="inlineStr">
        <is>
          <t>примечание</t>
        </is>
      </c>
    </row>
    <row r="5">
      <c r="A5" s="7" t="inlineStr">
        <is>
          <t>embed</t>
        </is>
      </c>
      <c r="B5" s="8" t="n"/>
      <c r="C5" s="8" t="n"/>
      <c r="D5" s="8" t="n"/>
      <c r="E5" s="9">
        <f>IF(COUNT(B5:D5)=3,B5*C5*D5,"")</f>
        <v/>
      </c>
      <c r="F5" s="10" t="n"/>
      <c r="G5" s="11">
        <f>IF(E5="","—",IF(E5=F5,"сходится","РАСХОЖДЕНИЕ"))</f>
        <v/>
      </c>
      <c r="H5" s="12">
        <f>IF($F$15=0,"",F5/$F$15)</f>
        <v/>
      </c>
      <c r="I5" s="13" t="inlineStr"/>
    </row>
    <row r="6">
      <c r="A6" s="7" t="inlineStr">
        <is>
          <t>q_proj</t>
        </is>
      </c>
      <c r="B6" s="8" t="n"/>
      <c r="C6" s="8" t="n"/>
      <c r="D6" s="8" t="n"/>
      <c r="E6" s="9">
        <f>IF(COUNT(B6:D6)=3,B6*C6*D6,"")</f>
        <v/>
      </c>
      <c r="F6" s="10" t="n"/>
      <c r="G6" s="11">
        <f>IF(E6="","—",IF(E6=F6,"сходится","РАСХОЖДЕНИЕ"))</f>
        <v/>
      </c>
      <c r="H6" s="12">
        <f>IF($F$15=0,"",F6/$F$15)</f>
        <v/>
      </c>
      <c r="I6" s="13" t="inlineStr"/>
    </row>
    <row r="7">
      <c r="A7" s="7" t="inlineStr">
        <is>
          <t>k_proj</t>
        </is>
      </c>
      <c r="B7" s="8" t="n"/>
      <c r="C7" s="8" t="n"/>
      <c r="D7" s="8" t="n"/>
      <c r="E7" s="9">
        <f>IF(COUNT(B7:D7)=3,B7*C7*D7,"")</f>
        <v/>
      </c>
      <c r="F7" s="10" t="n"/>
      <c r="G7" s="11">
        <f>IF(E7="","—",IF(E7=F7,"сходится","РАСХОЖДЕНИЕ"))</f>
        <v/>
      </c>
      <c r="H7" s="12">
        <f>IF($F$15=0,"",F7/$F$15)</f>
        <v/>
      </c>
      <c r="I7" s="13" t="inlineStr"/>
    </row>
    <row r="8">
      <c r="A8" s="7" t="inlineStr">
        <is>
          <t>v_proj</t>
        </is>
      </c>
      <c r="B8" s="8" t="n"/>
      <c r="C8" s="8" t="n"/>
      <c r="D8" s="8" t="n"/>
      <c r="E8" s="9">
        <f>IF(COUNT(B8:D8)=3,B8*C8*D8,"")</f>
        <v/>
      </c>
      <c r="F8" s="10" t="n"/>
      <c r="G8" s="11">
        <f>IF(E8="","—",IF(E8=F8,"сходится","РАСХОЖДЕНИЕ"))</f>
        <v/>
      </c>
      <c r="H8" s="12">
        <f>IF($F$15=0,"",F8/$F$15)</f>
        <v/>
      </c>
      <c r="I8" s="13" t="inlineStr"/>
    </row>
    <row r="9">
      <c r="A9" s="7" t="inlineStr">
        <is>
          <t>o_proj</t>
        </is>
      </c>
      <c r="B9" s="8" t="n"/>
      <c r="C9" s="8" t="n"/>
      <c r="D9" s="8" t="n"/>
      <c r="E9" s="9">
        <f>IF(COUNT(B9:D9)=3,B9*C9*D9,"")</f>
        <v/>
      </c>
      <c r="F9" s="10" t="n"/>
      <c r="G9" s="11">
        <f>IF(E9="","—",IF(E9=F9,"сходится","РАСХОЖДЕНИЕ"))</f>
        <v/>
      </c>
      <c r="H9" s="12">
        <f>IF($F$15=0,"",F9/$F$15)</f>
        <v/>
      </c>
      <c r="I9" s="13" t="inlineStr"/>
    </row>
    <row r="10">
      <c r="A10" s="7" t="inlineStr">
        <is>
          <t>gate_proj</t>
        </is>
      </c>
      <c r="B10" s="8" t="n"/>
      <c r="C10" s="8" t="n"/>
      <c r="D10" s="8" t="n"/>
      <c r="E10" s="9">
        <f>IF(COUNT(B10:D10)=3,B10*C10*D10,"")</f>
        <v/>
      </c>
      <c r="F10" s="10" t="n"/>
      <c r="G10" s="11">
        <f>IF(E10="","—",IF(E10=F10,"сходится","РАСХОЖДЕНИЕ"))</f>
        <v/>
      </c>
      <c r="H10" s="12">
        <f>IF($F$15=0,"",F10/$F$15)</f>
        <v/>
      </c>
      <c r="I10" s="13" t="inlineStr"/>
    </row>
    <row r="11">
      <c r="A11" s="7" t="inlineStr">
        <is>
          <t>up_proj</t>
        </is>
      </c>
      <c r="B11" s="8" t="n"/>
      <c r="C11" s="8" t="n"/>
      <c r="D11" s="8" t="n"/>
      <c r="E11" s="9">
        <f>IF(COUNT(B11:D11)=3,B11*C11*D11,"")</f>
        <v/>
      </c>
      <c r="F11" s="10" t="n"/>
      <c r="G11" s="11">
        <f>IF(E11="","—",IF(E11=F11,"сходится","РАСХОЖДЕНИЕ"))</f>
        <v/>
      </c>
      <c r="H11" s="12">
        <f>IF($F$15=0,"",F11/$F$15)</f>
        <v/>
      </c>
      <c r="I11" s="13" t="inlineStr"/>
    </row>
    <row r="12">
      <c r="A12" s="7" t="inlineStr">
        <is>
          <t>down_proj</t>
        </is>
      </c>
      <c r="B12" s="8" t="n"/>
      <c r="C12" s="8" t="n"/>
      <c r="D12" s="8" t="n"/>
      <c r="E12" s="9">
        <f>IF(COUNT(B12:D12)=3,B12*C12*D12,"")</f>
        <v/>
      </c>
      <c r="F12" s="10" t="n"/>
      <c r="G12" s="11">
        <f>IF(E12="","—",IF(E12=F12,"сходится","РАСХОЖДЕНИЕ"))</f>
        <v/>
      </c>
      <c r="H12" s="12">
        <f>IF($F$15=0,"",F12/$F$15)</f>
        <v/>
      </c>
      <c r="I12" s="13" t="inlineStr"/>
    </row>
    <row r="13">
      <c r="A13" s="7" t="inlineStr">
        <is>
          <t>norm</t>
        </is>
      </c>
      <c r="B13" s="8" t="n"/>
      <c r="C13" s="8" t="n"/>
      <c r="D13" s="8" t="n"/>
      <c r="E13" s="9">
        <f>IF(COUNT(B13:D13)=3,B13*C13*D13,"")</f>
        <v/>
      </c>
      <c r="F13" s="10" t="n"/>
      <c r="G13" s="11">
        <f>IF(E13="","—",IF(E13=F13,"сходится","РАСХОЖДЕНИЕ"))</f>
        <v/>
      </c>
      <c r="H13" s="12">
        <f>IF($F$15=0,"",F13/$F$15)</f>
        <v/>
      </c>
      <c r="I13" s="13" t="inlineStr">
        <is>
          <t>вектор, а не матрица: столбцов нет</t>
        </is>
      </c>
    </row>
    <row r="14">
      <c r="A14" s="7" t="inlineStr">
        <is>
          <t>lm_head</t>
        </is>
      </c>
      <c r="B14" s="8" t="n"/>
      <c r="C14" s="8" t="n"/>
      <c r="D14" s="8" t="n"/>
      <c r="E14" s="9">
        <f>IF(COUNT(B14:D14)=3,B14*C14*D14,"")</f>
        <v/>
      </c>
      <c r="F14" s="10" t="n"/>
      <c r="G14" s="11">
        <f>IF(E14="","—",IF(E14=F14,"сходится","РАСХОЖДЕНИЕ"))</f>
        <v/>
      </c>
      <c r="H14" s="12">
        <f>IF($F$15=0,"",F14/$F$15)</f>
        <v/>
      </c>
      <c r="I14" s="13" t="inlineStr">
        <is>
          <t>tie_word_embeddings — своих весов нет</t>
        </is>
      </c>
    </row>
    <row r="15">
      <c r="A15" s="14" t="inlineStr">
        <is>
          <t>ИТОГО</t>
        </is>
      </c>
      <c r="F15" s="15">
        <f>SUM(F5:F14)</f>
        <v/>
      </c>
      <c r="H15" s="12">
        <f>IF(F15=0,"",F15/F15)</f>
        <v/>
      </c>
    </row>
    <row r="17">
      <c r="A17" s="14" t="inlineStr">
        <is>
          <t>params_total из отчёта</t>
        </is>
      </c>
      <c r="F17" s="10" t="n"/>
    </row>
    <row r="18">
      <c r="A18" s="14" t="inlineStr">
        <is>
          <t>сумма сошлась?</t>
        </is>
      </c>
      <c r="F18" s="11">
        <f>IF(F17="","заполните",IF(F15=F17,"да, сходится","НЕ СХОДИТСЯ"))</f>
        <v/>
      </c>
    </row>
  </sheetData>
  <conditionalFormatting sqref="G5:G14">
    <cfRule type="expression" priority="1" dxfId="0">
      <formula>EXACT(G5,"РАСХОЖДЕНИЕ")</formula>
    </cfRule>
    <cfRule type="expression" priority="3" dxfId="1">
      <formula>EXACT(G5,"сходится")</formula>
    </cfRule>
  </conditionalFormatting>
  <conditionalFormatting sqref="F18">
    <cfRule type="expression" priority="2" dxfId="0">
      <formula>EXACT(F18,"НЕ СХОДИТСЯ")</formula>
    </cfRule>
    <cfRule type="expression" priority="4" dxfId="1">
      <formula>EXACT(F18,"да, 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</cols>
  <sheetData>
    <row r="1">
      <c r="A1" s="4" t="inlineStr">
        <is>
          <t>Параметры LoRA: своя формула против peft</t>
        </is>
      </c>
    </row>
    <row r="2">
      <c r="A2" s="5" t="inlineStr">
        <is>
          <t>На каждый целевой модуль адаптер добавляет r × (вход + выход) чисел. Умножаем на число слоёв.</t>
        </is>
      </c>
    </row>
    <row r="4">
      <c r="A4" s="14" t="inlineStr">
        <is>
          <t>r (ранг)</t>
        </is>
      </c>
      <c r="B4" s="8" t="n"/>
    </row>
    <row r="5">
      <c r="A5" s="14" t="inlineStr">
        <is>
          <t>lora_alpha</t>
        </is>
      </c>
      <c r="B5" s="8" t="n"/>
    </row>
    <row r="7" ht="30" customHeight="1">
      <c r="A7" s="6" t="inlineStr">
        <is>
          <t>целевой модуль</t>
        </is>
      </c>
      <c r="B7" s="6" t="inlineStr">
        <is>
          <t>слоёв</t>
        </is>
      </c>
      <c r="C7" s="6" t="inlineStr">
        <is>
          <t>вход</t>
        </is>
      </c>
      <c r="D7" s="6" t="inlineStr">
        <is>
          <t>выход</t>
        </is>
      </c>
      <c r="E7" s="6" t="inlineStr">
        <is>
          <t>параметров адаптера
r × (вход + выход) × слоёв</t>
        </is>
      </c>
      <c r="F7" s="6" t="inlineStr">
        <is>
          <t>включён?</t>
        </is>
      </c>
    </row>
    <row r="8">
      <c r="A8" s="7" t="inlineStr">
        <is>
          <t>q_proj</t>
        </is>
      </c>
      <c r="B8" s="8" t="n"/>
      <c r="C8" s="8" t="n"/>
      <c r="D8" s="8" t="n"/>
      <c r="E8" s="9">
        <f>IF(OR(F8&lt;&gt;"да",COUNT(B8:D8)&lt;3),0,$B$4*(C8+D8)*B8)</f>
        <v/>
      </c>
      <c r="F8" s="8" t="n"/>
    </row>
    <row r="9">
      <c r="A9" s="7" t="inlineStr">
        <is>
          <t>k_proj</t>
        </is>
      </c>
      <c r="B9" s="8" t="n"/>
      <c r="C9" s="8" t="n"/>
      <c r="D9" s="8" t="n"/>
      <c r="E9" s="9">
        <f>IF(OR(F9&lt;&gt;"да",COUNT(B9:D9)&lt;3),0,$B$4*(C9+D9)*B9)</f>
        <v/>
      </c>
      <c r="F9" s="8" t="n"/>
    </row>
    <row r="10">
      <c r="A10" s="7" t="inlineStr">
        <is>
          <t>v_proj</t>
        </is>
      </c>
      <c r="B10" s="8" t="n"/>
      <c r="C10" s="8" t="n"/>
      <c r="D10" s="8" t="n"/>
      <c r="E10" s="9">
        <f>IF(OR(F10&lt;&gt;"да",COUNT(B10:D10)&lt;3),0,$B$4*(C10+D10)*B10)</f>
        <v/>
      </c>
      <c r="F10" s="8" t="n"/>
    </row>
    <row r="11">
      <c r="A11" s="7" t="inlineStr">
        <is>
          <t>o_proj</t>
        </is>
      </c>
      <c r="B11" s="8" t="n"/>
      <c r="C11" s="8" t="n"/>
      <c r="D11" s="8" t="n"/>
      <c r="E11" s="9">
        <f>IF(OR(F11&lt;&gt;"да",COUNT(B11:D11)&lt;3),0,$B$4*(C11+D11)*B11)</f>
        <v/>
      </c>
      <c r="F11" s="8" t="n"/>
    </row>
    <row r="12">
      <c r="A12" s="7" t="inlineStr">
        <is>
          <t>gate_proj</t>
        </is>
      </c>
      <c r="B12" s="8" t="n"/>
      <c r="C12" s="8" t="n"/>
      <c r="D12" s="8" t="n"/>
      <c r="E12" s="9">
        <f>IF(OR(F12&lt;&gt;"да",COUNT(B12:D12)&lt;3),0,$B$4*(C12+D12)*B12)</f>
        <v/>
      </c>
      <c r="F12" s="8" t="n"/>
    </row>
    <row r="13">
      <c r="A13" s="7" t="inlineStr">
        <is>
          <t>up_proj</t>
        </is>
      </c>
      <c r="B13" s="8" t="n"/>
      <c r="C13" s="8" t="n"/>
      <c r="D13" s="8" t="n"/>
      <c r="E13" s="9">
        <f>IF(OR(F13&lt;&gt;"да",COUNT(B13:D13)&lt;3),0,$B$4*(C13+D13)*B13)</f>
        <v/>
      </c>
      <c r="F13" s="8" t="n"/>
    </row>
    <row r="14">
      <c r="A14" s="7" t="inlineStr">
        <is>
          <t>down_proj</t>
        </is>
      </c>
      <c r="B14" s="8" t="n"/>
      <c r="C14" s="8" t="n"/>
      <c r="D14" s="8" t="n"/>
      <c r="E14" s="9">
        <f>IF(OR(F14&lt;&gt;"да",COUNT(B14:D14)&lt;3),0,$B$4*(C14+D14)*B14)</f>
        <v/>
      </c>
      <c r="F14" s="8" t="n"/>
    </row>
    <row r="15">
      <c r="A15" s="14" t="inlineStr">
        <is>
          <t>по вашей формуле</t>
        </is>
      </c>
      <c r="E15" s="15">
        <f>SUM(E8:E14)</f>
        <v/>
      </c>
    </row>
    <row r="16">
      <c r="A16" s="14" t="inlineStr">
        <is>
          <t>что показал peft</t>
        </is>
      </c>
      <c r="E16" s="10" t="n"/>
    </row>
    <row r="17">
      <c r="A17" s="14" t="inlineStr">
        <is>
          <t>совпало?</t>
        </is>
      </c>
      <c r="E17" s="11">
        <f>IF(E16="","заполните",IF(E15=E16,"да, совпало","НЕ СОВПАЛО"))</f>
        <v/>
      </c>
    </row>
    <row r="19">
      <c r="A19" s="14" t="inlineStr">
        <is>
          <t>параметров базовой модели</t>
        </is>
      </c>
      <c r="E19" s="10" t="n"/>
    </row>
    <row r="20">
      <c r="A20" s="14" t="inlineStr">
        <is>
          <t>доля обучаемых</t>
        </is>
      </c>
      <c r="E20" s="16">
        <f>IF(E19="","",E15/E19)</f>
        <v/>
      </c>
    </row>
  </sheetData>
  <conditionalFormatting sqref="E17">
    <cfRule type="expression" priority="1" dxfId="0">
      <formula>EXACT(E17,"НЕ СОВПАЛО")</formula>
    </cfRule>
    <cfRule type="expression" priority="2" dxfId="1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2" customWidth="1" min="4" max="4"/>
    <col width="20" customWidth="1" min="5" max="5"/>
  </cols>
  <sheetData>
    <row r="1">
      <c r="A1" s="4" t="inlineStr">
        <is>
          <t>Память в трёх режимах</t>
        </is>
      </c>
    </row>
    <row r="2">
      <c r="A2" s="5" t="inlineStr">
        <is>
          <t>Пик памяти не может быть меньше весов модели ни в одном режиме. Если меньше — измерено не то.</t>
        </is>
      </c>
    </row>
    <row r="4" ht="30" customHeight="1">
      <c r="A4" s="6" t="inlineStr">
        <is>
          <t>режим</t>
        </is>
      </c>
      <c r="B4" s="6" t="inlineStr">
        <is>
          <t>пик, МБ</t>
        </is>
      </c>
      <c r="C4" s="6" t="inlineStr">
        <is>
          <t>× к инференсу</t>
        </is>
      </c>
      <c r="D4" s="6" t="inlineStr">
        <is>
          <t>секунд</t>
        </is>
      </c>
      <c r="E4" s="6" t="inlineStr">
        <is>
          <t>пик больше весов?</t>
        </is>
      </c>
    </row>
    <row r="5">
      <c r="A5" s="17" t="inlineStr">
        <is>
          <t>инференс</t>
        </is>
      </c>
      <c r="B5" s="18" t="n"/>
      <c r="C5" s="19">
        <f>IF($B$5="","",B5/$B$5)</f>
        <v/>
      </c>
      <c r="D5" s="20" t="n"/>
      <c r="E5" s="11">
        <f>IF(OR(B5="",$B$14=""),"",IF(B5&gt;=$B$14,"да","МЕНЬШЕ ВЕСОВ"))</f>
        <v/>
      </c>
    </row>
    <row r="6">
      <c r="A6" s="17" t="inlineStr">
        <is>
          <t>full fine-tune</t>
        </is>
      </c>
      <c r="B6" s="18" t="n"/>
      <c r="C6" s="19">
        <f>IF($B$5="","",B6/$B$5)</f>
        <v/>
      </c>
      <c r="D6" s="20" t="n"/>
      <c r="E6" s="11">
        <f>IF(OR(B6="",$B$14=""),"",IF(B6&gt;=$B$14,"да","МЕНЬШЕ ВЕСОВ"))</f>
        <v/>
      </c>
    </row>
    <row r="7">
      <c r="A7" s="17" t="inlineStr">
        <is>
          <t>LoRA (r=8, q/v)</t>
        </is>
      </c>
      <c r="B7" s="18" t="n"/>
      <c r="C7" s="19">
        <f>IF($B$5="","",B7/$B$5)</f>
        <v/>
      </c>
      <c r="D7" s="20" t="n"/>
      <c r="E7" s="11">
        <f>IF(OR(B7="",$B$14=""),"",IF(B7&gt;=$B$14,"да","МЕНЬШЕ ВЕСОВ"))</f>
        <v/>
      </c>
    </row>
    <row r="9">
      <c r="A9" s="14" t="inlineStr">
        <is>
          <t>Проверка на вменяемость</t>
        </is>
      </c>
    </row>
    <row r="10">
      <c r="A10" s="17" t="inlineStr">
        <is>
          <t>параметров в модели</t>
        </is>
      </c>
      <c r="B10" s="10" t="n"/>
    </row>
    <row r="11">
      <c r="A11" s="17" t="inlineStr">
        <is>
          <t>байт на число (bf16 = 2)</t>
        </is>
      </c>
      <c r="B11" s="8" t="n"/>
    </row>
    <row r="13">
      <c r="A13" s="14" t="inlineStr">
        <is>
          <t>веса модели, МБ</t>
        </is>
      </c>
    </row>
    <row r="14">
      <c r="A14" s="21" t="n"/>
      <c r="B14" s="9">
        <f>IF(COUNT(B10:B11)&lt;2,"",B10*B11/1048576)</f>
        <v/>
      </c>
    </row>
    <row r="16">
      <c r="A16" s="14" t="inlineStr">
        <is>
          <t>Условия замера — без них числа ничего не значат</t>
        </is>
      </c>
    </row>
    <row r="17">
      <c r="A17" s="17" t="inlineStr">
        <is>
          <t>устройство (cpu / cuda / mps)</t>
        </is>
      </c>
      <c r="B17" s="22" t="n"/>
    </row>
    <row r="18">
      <c r="A18" s="17" t="inlineStr">
        <is>
          <t>чем меряли память</t>
        </is>
      </c>
      <c r="B18" s="22" t="n"/>
    </row>
    <row r="19">
      <c r="A19" s="17" t="inlineStr">
        <is>
          <t>dtype</t>
        </is>
      </c>
      <c r="B19" s="22" t="n"/>
    </row>
    <row r="20">
      <c r="A20" s="17" t="inlineStr">
        <is>
          <t>seq_len</t>
        </is>
      </c>
      <c r="B20" s="22" t="n"/>
    </row>
    <row r="21">
      <c r="A21" s="17" t="inlineStr">
        <is>
          <t>batch_size</t>
        </is>
      </c>
      <c r="B21" s="22" t="n"/>
    </row>
    <row r="22">
      <c r="A22" s="17" t="inlineStr">
        <is>
          <t>сколько раз повторяли замер</t>
        </is>
      </c>
      <c r="B22" s="22" t="n"/>
    </row>
    <row r="23">
      <c r="A23" s="17" t="inlineStr">
        <is>
          <t>что именно в шаге (forward / +backward / +optimizer)</t>
        </is>
      </c>
      <c r="B23" s="22" t="n"/>
    </row>
    <row r="24">
      <c r="A24" s="17" t="inlineStr">
        <is>
          <t>модель</t>
        </is>
      </c>
      <c r="B24" s="22" t="n"/>
    </row>
  </sheetData>
  <mergeCells count="1">
    <mergeCell ref="A13:A14"/>
  </mergeCells>
  <conditionalFormatting sqref="E5:E7">
    <cfRule type="expression" priority="1" dxfId="0">
      <formula>EXACT(E5,"МЕНЬШЕ ВЕСОВ")</formula>
    </cfRule>
    <cfRule type="expression" priority="2" dxfId="1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80" customWidth="1" min="3" max="3"/>
  </cols>
  <sheetData>
    <row r="1">
      <c r="A1" s="4" t="inlineStr">
        <is>
          <t>Почему ваши числа именно такие</t>
        </is>
      </c>
    </row>
    <row r="2">
      <c r="A2" s="5" t="inlineStr">
        <is>
          <t>Своими словами. Одного-двух предложений достаточно — но они должны быть про ваши числа, а не про чужие.</t>
        </is>
      </c>
    </row>
    <row r="4" ht="30" customHeight="1">
      <c r="A4" s="6" t="inlineStr"/>
      <c r="B4" s="6" t="inlineStr">
        <is>
          <t>вопрос</t>
        </is>
      </c>
      <c r="C4" s="6" t="inlineStr">
        <is>
          <t>ваш ответ</t>
        </is>
      </c>
    </row>
    <row r="5" ht="58" customHeight="1">
      <c r="A5" s="14" t="n">
        <v>1</v>
      </c>
      <c r="B5" s="23" t="inlineStr">
        <is>
          <t>Почему lm_head в вашей таблице весит столько, сколько весит?</t>
        </is>
      </c>
      <c r="C5" s="24" t="n"/>
    </row>
    <row r="6" ht="58" customHeight="1">
      <c r="A6" s="14" t="n">
        <v>2</v>
      </c>
      <c r="B6" s="23" t="inlineStr">
        <is>
          <t>Почему k_proj вдвое меньше q_proj?</t>
        </is>
      </c>
      <c r="C6" s="24" t="n"/>
    </row>
    <row r="7" ht="58" customHeight="1">
      <c r="A7" s="14" t="n">
        <v>3</v>
      </c>
      <c r="B7" s="23" t="inlineStr">
        <is>
          <t>Почему MLP занимает большую долю модели, чем всё внимание вместе?</t>
        </is>
      </c>
      <c r="C7" s="24" t="n"/>
    </row>
    <row r="8" ht="58" customHeight="1">
      <c r="A8" s="14" t="n">
        <v>4</v>
      </c>
      <c r="B8" s="23" t="inlineStr">
        <is>
          <t>Почему при 0,192% обучаемых параметров LoRA экономит намного больше памяти, чем 0,192%?</t>
        </is>
      </c>
      <c r="C8" s="24" t="n"/>
    </row>
    <row r="9" ht="58" customHeight="1">
      <c r="A9" s="14" t="n">
        <v>5</v>
      </c>
      <c r="B9" s="23" t="inlineStr">
        <is>
          <t>Ваша метрика памяти — какая и почему именно она подходит вашему устройству?</t>
        </is>
      </c>
      <c r="C9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2026-09-08T22:05:17Z</dcterms:created>
  <dcterms:modified xmlns:dcterms="http://purl.org/dc/terms/" xmlns:xsi="http://www.w3.org/2001/XMLSchema-instance" xsi:type="dcterms:W3CDTF">2026-09-08T22:05:17Z</dcterms:modified>
</cp:coreProperties>
</file>